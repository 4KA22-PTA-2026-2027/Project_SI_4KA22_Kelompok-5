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90ec01f13040f65/Documents/PPSI/"/>
    </mc:Choice>
  </mc:AlternateContent>
  <xr:revisionPtr revIDLastSave="13" documentId="13_ncr:1_{5DACC821-3E07-44AA-94B3-F872A9C8EDAA}" xr6:coauthVersionLast="47" xr6:coauthVersionMax="47" xr10:uidLastSave="{B45088E6-0D4C-4CF4-85FF-F9BE65DF440D}"/>
  <bookViews>
    <workbookView xWindow="-110" yWindow="-110" windowWidth="19420" windowHeight="10300" tabRatio="500" activeTab="2" xr2:uid="{00000000-000D-0000-FFFF-FFFF00000000}"/>
  </bookViews>
  <sheets>
    <sheet name="6.3 Gantt Chart" sheetId="1" r:id="rId1"/>
    <sheet name="6.1 Jadwal &amp; Dependensi" sheetId="2" r:id="rId2"/>
    <sheet name="6.2 Milesto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8" i="1" l="1"/>
  <c r="S25" i="1"/>
  <c r="S24" i="1"/>
  <c r="S21" i="1" s="1"/>
  <c r="S23" i="1"/>
  <c r="S22" i="1"/>
  <c r="S17" i="1"/>
  <c r="S14" i="1"/>
  <c r="S10" i="1"/>
  <c r="S7" i="1"/>
  <c r="S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7" authorId="0" shapeId="0" xr:uid="{00000000-0006-0000-0000-000001000000}">
      <text>
        <r>
          <rPr>
            <sz val="10"/>
            <rFont val="Arial"/>
            <family val="2"/>
          </rPr>
          <t>M1: Requirement Document disetujui klien</t>
        </r>
      </text>
    </comment>
    <comment ref="F10" authorId="0" shapeId="0" xr:uid="{00000000-0006-0000-0000-000002000000}">
      <text>
        <r>
          <rPr>
            <sz val="10"/>
            <rFont val="Arial"/>
            <family val="2"/>
          </rPr>
          <t>M2: Rencana proyek (WBS &amp; Gantt) selesai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>M3: SRS selesai</t>
        </r>
      </text>
    </comment>
    <comment ref="J17" authorId="0" shapeId="0" xr:uid="{00000000-0006-0000-0000-000004000000}">
      <text>
        <r>
          <rPr>
            <sz val="10"/>
            <rFont val="Arial"/>
            <family val="2"/>
          </rPr>
          <t>M4: SDD selesai</t>
        </r>
      </text>
    </comment>
    <comment ref="K22" authorId="0" shapeId="0" xr:uid="{00000000-0006-0000-0000-000005000000}">
      <text>
        <r>
          <rPr>
            <sz val="10"/>
            <rFont val="Arial"/>
            <family val="2"/>
          </rPr>
          <t>M5: Demo Sprint 1</t>
        </r>
      </text>
    </comment>
    <comment ref="L23" authorId="0" shapeId="0" xr:uid="{00000000-0006-0000-0000-000006000000}">
      <text>
        <r>
          <rPr>
            <sz val="10"/>
            <rFont val="Arial"/>
            <family val="2"/>
          </rPr>
          <t>M6: Demo Sprint 2</t>
        </r>
      </text>
    </comment>
    <comment ref="N24" authorId="0" shapeId="0" xr:uid="{00000000-0006-0000-0000-000007000000}">
      <text>
        <r>
          <rPr>
            <sz val="10"/>
            <rFont val="Arial"/>
            <family val="2"/>
          </rPr>
          <t>M7: Demo Sprint 3 – semua fitur lengkap</t>
        </r>
      </text>
    </comment>
    <comment ref="O25" authorId="0" shapeId="0" xr:uid="{00000000-0006-0000-0000-000008000000}">
      <text>
        <r>
          <rPr>
            <sz val="10"/>
            <rFont val="Arial"/>
            <family val="2"/>
          </rPr>
          <t>M8: UAT diterima klien</t>
        </r>
      </text>
    </comment>
    <comment ref="Q28" authorId="0" shapeId="0" xr:uid="{00000000-0006-0000-0000-000009000000}">
      <text>
        <r>
          <rPr>
            <sz val="10"/>
            <rFont val="Arial"/>
            <family val="2"/>
          </rPr>
          <t>M9: Pelatihan &amp; BAST</t>
        </r>
      </text>
    </comment>
  </commentList>
</comments>
</file>

<file path=xl/sharedStrings.xml><?xml version="1.0" encoding="utf-8"?>
<sst xmlns="http://schemas.openxmlformats.org/spreadsheetml/2006/main" count="208" uniqueCount="149">
  <si>
    <t>Minggu ke- (tanggal mulai minggu: hari/bulan)</t>
  </si>
  <si>
    <t>Kode · Paket Kerja</t>
  </si>
  <si>
    <t>1
28/9</t>
  </si>
  <si>
    <t>2
5/10</t>
  </si>
  <si>
    <t>3
12/10</t>
  </si>
  <si>
    <t>4
19/10</t>
  </si>
  <si>
    <t>5
26/10</t>
  </si>
  <si>
    <t>6
2/11</t>
  </si>
  <si>
    <t>7
9/11</t>
  </si>
  <si>
    <t>8
16/11</t>
  </si>
  <si>
    <t>9
23/11</t>
  </si>
  <si>
    <t>10
30/11</t>
  </si>
  <si>
    <t>11
7/12</t>
  </si>
  <si>
    <t>12
14/12</t>
  </si>
  <si>
    <t>13
21/12</t>
  </si>
  <si>
    <t>14
28/12</t>
  </si>
  <si>
    <t>15
4/1</t>
  </si>
  <si>
    <t>16
11/1</t>
  </si>
  <si>
    <t>Status</t>
  </si>
  <si>
    <t>1</t>
  </si>
  <si>
    <t>Manajemen Proyek</t>
  </si>
  <si>
    <t>1.1</t>
  </si>
  <si>
    <t>Rapat mingguan tim &amp; klien</t>
  </si>
  <si>
    <t>Belum</t>
  </si>
  <si>
    <t>1.2</t>
  </si>
  <si>
    <t>Pemantauan jadwal &amp; risiko</t>
  </si>
  <si>
    <t>2</t>
  </si>
  <si>
    <t>Definisi Proyek</t>
  </si>
  <si>
    <t>M1</t>
  </si>
  <si>
    <t>2.1</t>
  </si>
  <si>
    <t>Identifikasi klien &amp; masalah</t>
  </si>
  <si>
    <t>Selesai</t>
  </si>
  <si>
    <t>2.2</t>
  </si>
  <si>
    <t>Penyusunan &amp; persetujuan RD</t>
  </si>
  <si>
    <t>3</t>
  </si>
  <si>
    <t>Perencanaan</t>
  </si>
  <si>
    <t>M2</t>
  </si>
  <si>
    <t>3.1</t>
  </si>
  <si>
    <t>Proses bisnis &amp; gambaran sistem</t>
  </si>
  <si>
    <t>3.2</t>
  </si>
  <si>
    <t>Analisis kelayakan</t>
  </si>
  <si>
    <t>3.3</t>
  </si>
  <si>
    <t>WBS &amp; Gantt Chart</t>
  </si>
  <si>
    <t>4</t>
  </si>
  <si>
    <t>Analisis Kebutuhan</t>
  </si>
  <si>
    <t>M3</t>
  </si>
  <si>
    <t>4.1</t>
  </si>
  <si>
    <t>Wawancara &amp; observasi lanjutan</t>
  </si>
  <si>
    <t>4.2</t>
  </si>
  <si>
    <t>Penyusunan SRS (use case, kebutuhan)</t>
  </si>
  <si>
    <t>5</t>
  </si>
  <si>
    <t>Desain Sistem</t>
  </si>
  <si>
    <t>M4</t>
  </si>
  <si>
    <t>5.1</t>
  </si>
  <si>
    <t>Perancangan basis data (ERD)</t>
  </si>
  <si>
    <t>5.2</t>
  </si>
  <si>
    <t>Perancangan arsitektur &amp; antarmuka</t>
  </si>
  <si>
    <t>5.3</t>
  </si>
  <si>
    <t>Penyusunan dokumen SDD</t>
  </si>
  <si>
    <t>6</t>
  </si>
  <si>
    <t>Pemrograman</t>
  </si>
  <si>
    <t>6.1</t>
  </si>
  <si>
    <t>Sprint 1 – fitur dasar</t>
  </si>
  <si>
    <t>M5</t>
  </si>
  <si>
    <t>6.2</t>
  </si>
  <si>
    <t>Sprint 2 – fitur lanjutan</t>
  </si>
  <si>
    <t>M6</t>
  </si>
  <si>
    <t>6.3</t>
  </si>
  <si>
    <t>Sprint 3 – semua fitur lengkap</t>
  </si>
  <si>
    <t>M7</t>
  </si>
  <si>
    <t>7</t>
  </si>
  <si>
    <t>Pengujian</t>
  </si>
  <si>
    <t>M8</t>
  </si>
  <si>
    <t>7.1</t>
  </si>
  <si>
    <t>Pengujian modul &amp; integrasi</t>
  </si>
  <si>
    <t>7.2</t>
  </si>
  <si>
    <t>UAT bersama klien</t>
  </si>
  <si>
    <t>8</t>
  </si>
  <si>
    <t>Penerapan</t>
  </si>
  <si>
    <t>M9</t>
  </si>
  <si>
    <t>8.1</t>
  </si>
  <si>
    <t>Deploy final &amp; pelatihan pengguna</t>
  </si>
  <si>
    <t>8.2</t>
  </si>
  <si>
    <t>User manual, BAST &amp; laporan akhir</t>
  </si>
  <si>
    <t>UTS</t>
  </si>
  <si>
    <t>UAS</t>
  </si>
  <si>
    <t xml:space="preserve">  </t>
  </si>
  <si>
    <t>Fase (level 1)</t>
  </si>
  <si>
    <t>Paket kerja (level 2)</t>
  </si>
  <si>
    <t>Milestone (M1–M9)</t>
  </si>
  <si>
    <t>UTS / UAS</t>
  </si>
  <si>
    <t>Kode WBS</t>
  </si>
  <si>
    <t>Tugas</t>
  </si>
  <si>
    <t>Mulai</t>
  </si>
  <si>
    <t>Durasi</t>
  </si>
  <si>
    <t>Pendahulu</t>
  </si>
  <si>
    <t>Mg 1 – 28 Sep 2026</t>
  </si>
  <si>
    <t>Mg 2 – 11 Okt 2026</t>
  </si>
  <si>
    <t>14 hari</t>
  </si>
  <si>
    <t>—</t>
  </si>
  <si>
    <t>Mg 3 – 12 Okt 2026</t>
  </si>
  <si>
    <t>Mg 4 – 25 Okt 2026</t>
  </si>
  <si>
    <t>Mg 5 – 26 Okt 2026</t>
  </si>
  <si>
    <t>Mg 6 – 8 Nov 2026</t>
  </si>
  <si>
    <t>Mg 7 – 9 Nov 2026</t>
  </si>
  <si>
    <t>Mg 8 – 22 Nov 2026</t>
  </si>
  <si>
    <t>Pemrograman (Sprint 1–3)</t>
  </si>
  <si>
    <t>Mg 9 – 23 Nov 2026</t>
  </si>
  <si>
    <t>Mg 12 – 20 Des 2026</t>
  </si>
  <si>
    <t>21 hari</t>
  </si>
  <si>
    <t>Mg 13 – 21 Des 2026</t>
  </si>
  <si>
    <t>Mg 13 – 27 Des 2026</t>
  </si>
  <si>
    <t>7 hari</t>
  </si>
  <si>
    <t>Mg 14 – 28 Des 2026</t>
  </si>
  <si>
    <t>Mg 15 – 10 Jan 2027</t>
  </si>
  <si>
    <t>Kode</t>
  </si>
  <si>
    <t>Milestone</t>
  </si>
  <si>
    <t>Minggu</t>
  </si>
  <si>
    <t>Bukti Tercapai</t>
  </si>
  <si>
    <t>Realisasi</t>
  </si>
  <si>
    <t>Requirement Document disetujui klien</t>
  </si>
  <si>
    <t>2 – 11 Okt</t>
  </si>
  <si>
    <t>Lembar persetujuan klien</t>
  </si>
  <si>
    <t>Rencana proyek (WBS &amp; Gantt) selesai</t>
  </si>
  <si>
    <t>4 – 25 Okt</t>
  </si>
  <si>
    <t>Dokumen 01 Bagian II</t>
  </si>
  <si>
    <t>SRS selesai</t>
  </si>
  <si>
    <t>6 – 8 Nov</t>
  </si>
  <si>
    <t>Dokumen SRS</t>
  </si>
  <si>
    <t>SDD selesai</t>
  </si>
  <si>
    <t>8 – 22 Nov</t>
  </si>
  <si>
    <t>Dokumen SDD</t>
  </si>
  <si>
    <t>Demo Sprint 1</t>
  </si>
  <si>
    <t>9 – 29 Nov</t>
  </si>
  <si>
    <t>Demo di kelas</t>
  </si>
  <si>
    <t>Demo Sprint 2</t>
  </si>
  <si>
    <t>10 – 6 Des</t>
  </si>
  <si>
    <t>Demo Sprint 3 – semua fitur lengkap</t>
  </si>
  <si>
    <t>12 – 20 Des</t>
  </si>
  <si>
    <t>Aplikasi + dok. implementasi</t>
  </si>
  <si>
    <t>UAT diterima klien</t>
  </si>
  <si>
    <t>13 – 27 Des</t>
  </si>
  <si>
    <t>Hasil UAT</t>
  </si>
  <si>
    <t>Pelatihan &amp; BAST</t>
  </si>
  <si>
    <t>15 – 10 Jan</t>
  </si>
  <si>
    <t>BAST bertanda tangan</t>
  </si>
  <si>
    <t>Berjalan</t>
  </si>
  <si>
    <t xml:space="preserve">Selesai </t>
  </si>
  <si>
    <t>Gantt Chart Proyek – Pembuatan Website Rumah Makan Kedaiku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</si>
</sst>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10"/>
      <name val="Cambria"/>
      <charset val="1"/>
    </font>
    <font>
      <b/>
      <sz val="11"/>
      <name val="Cambria"/>
      <charset val="1"/>
    </font>
    <font>
      <b/>
      <sz val="11"/>
      <name val="Calibri"/>
      <charset val="1"/>
    </font>
    <font>
      <sz val="11"/>
      <color rgb="FF0000FF"/>
      <name val="Calibri"/>
      <charset val="1"/>
    </font>
    <font>
      <b/>
      <sz val="11"/>
      <color rgb="FFFFFFFF"/>
      <name val="Cambria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0"/>
      <name val="Cambria"/>
      <charset val="1"/>
    </font>
    <font>
      <i/>
      <sz val="8"/>
      <name val="Calibri"/>
      <charset val="1"/>
    </font>
    <font>
      <sz val="10"/>
      <name val="Arial"/>
      <family val="2"/>
    </font>
    <font>
      <sz val="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EEF2FA"/>
      </patternFill>
    </fill>
    <fill>
      <patternFill patternType="solid">
        <fgColor rgb="FFBFBFBF"/>
        <bgColor rgb="FFA9D08E"/>
      </patternFill>
    </fill>
    <fill>
      <patternFill patternType="solid">
        <fgColor rgb="FFFFFFFF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EEF2FA"/>
        <bgColor rgb="FFF2F2F2"/>
      </patternFill>
    </fill>
    <fill>
      <patternFill patternType="solid">
        <fgColor rgb="FF8EA9DB"/>
        <bgColor rgb="FFBFBFBF"/>
      </patternFill>
    </fill>
    <fill>
      <patternFill patternType="solid">
        <fgColor rgb="FFED7D31"/>
        <bgColor rgb="FFFF7C80"/>
      </patternFill>
    </fill>
    <fill>
      <patternFill patternType="solid">
        <fgColor rgb="FFF2F2F2"/>
        <bgColor rgb="FFEEF2FA"/>
      </patternFill>
    </fill>
    <fill>
      <patternFill patternType="solid">
        <fgColor rgb="FF70AD47"/>
        <bgColor rgb="FF54823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indent="2"/>
    </xf>
    <xf numFmtId="0" fontId="0" fillId="7" borderId="1" xfId="0" applyFill="1" applyBorder="1"/>
    <xf numFmtId="0" fontId="5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3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/>
    <xf numFmtId="0" fontId="0" fillId="8" borderId="1" xfId="0" applyFill="1" applyBorder="1"/>
    <xf numFmtId="0" fontId="0" fillId="10" borderId="0" xfId="0" applyFill="1"/>
    <xf numFmtId="0" fontId="10" fillId="0" borderId="0" xfId="0" applyFont="1"/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96"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548235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548235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548235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548235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548235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A9D08E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548235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ont>
        <b/>
        <color rgb="FFFFFFFF"/>
      </font>
      <fill>
        <patternFill>
          <bgColor rgb="FFFFC0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70AD47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548235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FFD966"/>
        </patternFill>
      </fill>
    </dxf>
    <dxf>
      <fill>
        <patternFill>
          <bgColor rgb="FFFF7C80"/>
        </patternFill>
      </fill>
    </dxf>
    <dxf>
      <fill>
        <patternFill>
          <bgColor rgb="FFA9D08E"/>
        </patternFill>
      </fill>
    </dxf>
    <dxf>
      <fill>
        <patternFill>
          <bgColor rgb="FFBF9000"/>
        </patternFill>
      </fill>
    </dxf>
    <dxf>
      <fill>
        <patternFill>
          <bgColor rgb="FFC00000"/>
        </patternFill>
      </fill>
    </dxf>
    <dxf>
      <fill>
        <patternFill>
          <bgColor rgb="FF54823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8EA9DB"/>
      <rgbColor rgb="FF993366"/>
      <rgbColor rgb="FFF2F2F2"/>
      <rgbColor rgb="FFEEF2FA"/>
      <rgbColor rgb="FF660066"/>
      <rgbColor rgb="FFFF7C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D966"/>
      <rgbColor rgb="FF3366FF"/>
      <rgbColor rgb="FF33CCCC"/>
      <rgbColor rgb="FF99CC00"/>
      <rgbColor rgb="FFFFC000"/>
      <rgbColor rgb="FFBF90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zoomScale="58" zoomScaleNormal="100" workbookViewId="0">
      <pane xSplit="2" ySplit="3" topLeftCell="C12" activePane="bottomRight" state="frozen"/>
      <selection pane="topRight" activeCell="C1" sqref="C1"/>
      <selection pane="bottomLeft" activeCell="A4" sqref="A4"/>
      <selection pane="bottomRight" activeCell="J34" sqref="J34"/>
    </sheetView>
  </sheetViews>
  <sheetFormatPr defaultColWidth="8.6328125" defaultRowHeight="14.5" x14ac:dyDescent="0.35"/>
  <cols>
    <col min="1" max="1" width="5" customWidth="1"/>
    <col min="2" max="2" width="32" customWidth="1"/>
    <col min="3" max="18" width="6.54296875" customWidth="1"/>
    <col min="19" max="19" width="11" customWidth="1"/>
  </cols>
  <sheetData>
    <row r="1" spans="1:19" ht="19.5" customHeight="1" x14ac:dyDescent="0.35">
      <c r="A1" s="24" t="s">
        <v>148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9" ht="15" customHeight="1" x14ac:dyDescent="0.35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9" ht="27.75" customHeight="1" x14ac:dyDescent="0.35">
      <c r="A3" s="26" t="s">
        <v>1</v>
      </c>
      <c r="B3" s="26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2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2" t="s">
        <v>17</v>
      </c>
      <c r="S3" s="3" t="s">
        <v>18</v>
      </c>
    </row>
    <row r="4" spans="1:19" ht="15" customHeight="1" x14ac:dyDescent="0.35">
      <c r="A4" s="4" t="s">
        <v>19</v>
      </c>
      <c r="B4" s="4" t="s">
        <v>20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 t="str">
        <f>IF(COUNTIF(S5:S6,"Selesai")=ROWS(S5:S6),"Selesai",IF(COUNTIF(S5:S6,"Terlambat")&gt;0,"Terlambat",IF(COUNTIF(S5:S6,"Revisi")&gt;0,"Revisi",IF(COUNTIF(S5:S6,"Belum")=ROWS(S5:S6),"Belum","Berjalan"))))</f>
        <v>Belum</v>
      </c>
    </row>
    <row r="5" spans="1:19" ht="15" customHeight="1" x14ac:dyDescent="0.35">
      <c r="A5" s="7" t="s">
        <v>21</v>
      </c>
      <c r="B5" s="8" t="s">
        <v>22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 t="s">
        <v>23</v>
      </c>
    </row>
    <row r="6" spans="1:19" ht="15" customHeight="1" x14ac:dyDescent="0.35">
      <c r="A6" s="7" t="s">
        <v>24</v>
      </c>
      <c r="B6" s="8" t="s">
        <v>25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 t="s">
        <v>23</v>
      </c>
    </row>
    <row r="7" spans="1:19" ht="15" customHeight="1" x14ac:dyDescent="0.35">
      <c r="A7" s="4" t="s">
        <v>26</v>
      </c>
      <c r="B7" s="4" t="s">
        <v>27</v>
      </c>
      <c r="C7" s="5"/>
      <c r="D7" s="11" t="s">
        <v>28</v>
      </c>
      <c r="E7" s="12"/>
      <c r="F7" s="12"/>
      <c r="G7" s="12"/>
      <c r="H7" s="12"/>
      <c r="I7" s="12"/>
      <c r="J7" s="12"/>
      <c r="K7" s="12"/>
      <c r="L7" s="12"/>
      <c r="M7" s="13"/>
      <c r="N7" s="12"/>
      <c r="O7" s="12"/>
      <c r="P7" s="12"/>
      <c r="Q7" s="12"/>
      <c r="R7" s="13"/>
      <c r="S7" s="14" t="str">
        <f>'6.2 Milestone'!E2</f>
        <v>Selesai</v>
      </c>
    </row>
    <row r="8" spans="1:19" ht="15" customHeight="1" x14ac:dyDescent="0.35">
      <c r="A8" s="7" t="s">
        <v>29</v>
      </c>
      <c r="B8" s="8" t="s">
        <v>30</v>
      </c>
      <c r="C8" s="9"/>
      <c r="D8" s="12"/>
      <c r="E8" s="12"/>
      <c r="F8" s="12"/>
      <c r="G8" s="12"/>
      <c r="H8" s="12"/>
      <c r="I8" s="12"/>
      <c r="J8" s="12"/>
      <c r="K8" s="12"/>
      <c r="L8" s="12"/>
      <c r="M8" s="13"/>
      <c r="N8" s="12"/>
      <c r="O8" s="12"/>
      <c r="P8" s="12"/>
      <c r="Q8" s="12"/>
      <c r="R8" s="13"/>
      <c r="S8" s="10" t="s">
        <v>31</v>
      </c>
    </row>
    <row r="9" spans="1:19" ht="15" customHeight="1" x14ac:dyDescent="0.35">
      <c r="A9" s="7" t="s">
        <v>32</v>
      </c>
      <c r="B9" s="8" t="s">
        <v>33</v>
      </c>
      <c r="C9" s="12"/>
      <c r="D9" s="9"/>
      <c r="E9" s="12"/>
      <c r="F9" s="12"/>
      <c r="G9" s="12"/>
      <c r="H9" s="12"/>
      <c r="I9" s="12"/>
      <c r="J9" s="12"/>
      <c r="K9" s="12"/>
      <c r="L9" s="12"/>
      <c r="M9" s="13"/>
      <c r="N9" s="12"/>
      <c r="O9" s="12"/>
      <c r="P9" s="12"/>
      <c r="Q9" s="12"/>
      <c r="R9" s="13"/>
      <c r="S9" s="10" t="s">
        <v>31</v>
      </c>
    </row>
    <row r="10" spans="1:19" ht="15" customHeight="1" x14ac:dyDescent="0.35">
      <c r="A10" s="4" t="s">
        <v>34</v>
      </c>
      <c r="B10" s="4" t="s">
        <v>35</v>
      </c>
      <c r="C10" s="12"/>
      <c r="D10" s="12"/>
      <c r="E10" s="5"/>
      <c r="F10" s="11" t="s">
        <v>36</v>
      </c>
      <c r="G10" s="12"/>
      <c r="H10" s="12"/>
      <c r="I10" s="12"/>
      <c r="J10" s="12"/>
      <c r="K10" s="12"/>
      <c r="L10" s="12"/>
      <c r="M10" s="13"/>
      <c r="N10" s="12"/>
      <c r="O10" s="12"/>
      <c r="P10" s="12"/>
      <c r="Q10" s="12"/>
      <c r="R10" s="13"/>
      <c r="S10" s="14" t="str">
        <f>'6.2 Milestone'!E3</f>
        <v>Selesai</v>
      </c>
    </row>
    <row r="11" spans="1:19" ht="15" customHeight="1" x14ac:dyDescent="0.35">
      <c r="A11" s="7" t="s">
        <v>37</v>
      </c>
      <c r="B11" s="8" t="s">
        <v>38</v>
      </c>
      <c r="C11" s="12"/>
      <c r="D11" s="12"/>
      <c r="E11" s="9"/>
      <c r="F11" s="12"/>
      <c r="G11" s="12"/>
      <c r="H11" s="12"/>
      <c r="I11" s="12"/>
      <c r="J11" s="12"/>
      <c r="K11" s="12"/>
      <c r="L11" s="12"/>
      <c r="M11" s="13"/>
      <c r="N11" s="12"/>
      <c r="O11" s="12"/>
      <c r="P11" s="12"/>
      <c r="Q11" s="12"/>
      <c r="R11" s="13"/>
      <c r="S11" s="10" t="s">
        <v>31</v>
      </c>
    </row>
    <row r="12" spans="1:19" ht="15" customHeight="1" x14ac:dyDescent="0.35">
      <c r="A12" s="7" t="s">
        <v>39</v>
      </c>
      <c r="B12" s="8" t="s">
        <v>40</v>
      </c>
      <c r="C12" s="12"/>
      <c r="D12" s="12"/>
      <c r="E12" s="9"/>
      <c r="F12" s="9"/>
      <c r="G12" s="12"/>
      <c r="H12" s="12"/>
      <c r="I12" s="12"/>
      <c r="J12" s="12"/>
      <c r="K12" s="12"/>
      <c r="L12" s="12"/>
      <c r="M12" s="13"/>
      <c r="N12" s="12"/>
      <c r="O12" s="12"/>
      <c r="P12" s="12"/>
      <c r="Q12" s="12"/>
      <c r="R12" s="13"/>
      <c r="S12" s="10" t="s">
        <v>31</v>
      </c>
    </row>
    <row r="13" spans="1:19" ht="15" customHeight="1" x14ac:dyDescent="0.35">
      <c r="A13" s="7" t="s">
        <v>41</v>
      </c>
      <c r="B13" s="8" t="s">
        <v>42</v>
      </c>
      <c r="C13" s="12"/>
      <c r="D13" s="12"/>
      <c r="E13" s="12"/>
      <c r="F13" s="9"/>
      <c r="G13" s="12"/>
      <c r="H13" s="12"/>
      <c r="I13" s="12"/>
      <c r="J13" s="12"/>
      <c r="K13" s="12"/>
      <c r="L13" s="12"/>
      <c r="M13" s="13"/>
      <c r="N13" s="12"/>
      <c r="O13" s="12"/>
      <c r="P13" s="12"/>
      <c r="Q13" s="12"/>
      <c r="R13" s="13"/>
      <c r="S13" s="10" t="s">
        <v>31</v>
      </c>
    </row>
    <row r="14" spans="1:19" ht="15" customHeight="1" x14ac:dyDescent="0.35">
      <c r="A14" s="4" t="s">
        <v>43</v>
      </c>
      <c r="B14" s="4" t="s">
        <v>44</v>
      </c>
      <c r="C14" s="12"/>
      <c r="D14" s="12"/>
      <c r="E14" s="12"/>
      <c r="F14" s="12"/>
      <c r="G14" s="5"/>
      <c r="H14" s="11" t="s">
        <v>45</v>
      </c>
      <c r="I14" s="12"/>
      <c r="J14" s="12"/>
      <c r="K14" s="12"/>
      <c r="L14" s="12"/>
      <c r="M14" s="13"/>
      <c r="N14" s="12"/>
      <c r="O14" s="12"/>
      <c r="P14" s="12"/>
      <c r="Q14" s="12"/>
      <c r="R14" s="13"/>
      <c r="S14" s="14" t="str">
        <f>'6.2 Milestone'!E4</f>
        <v>Berjalan</v>
      </c>
    </row>
    <row r="15" spans="1:19" ht="15" customHeight="1" x14ac:dyDescent="0.35">
      <c r="A15" s="7" t="s">
        <v>46</v>
      </c>
      <c r="B15" s="8" t="s">
        <v>47</v>
      </c>
      <c r="C15" s="12"/>
      <c r="D15" s="12"/>
      <c r="E15" s="12"/>
      <c r="F15" s="12"/>
      <c r="G15" s="9"/>
      <c r="H15" s="12"/>
      <c r="I15" s="12"/>
      <c r="J15" s="12"/>
      <c r="K15" s="12"/>
      <c r="L15" s="12"/>
      <c r="M15" s="13"/>
      <c r="N15" s="12"/>
      <c r="O15" s="12"/>
      <c r="P15" s="12"/>
      <c r="Q15" s="12"/>
      <c r="R15" s="13"/>
      <c r="S15" s="10" t="s">
        <v>23</v>
      </c>
    </row>
    <row r="16" spans="1:19" ht="15" customHeight="1" x14ac:dyDescent="0.35">
      <c r="A16" s="7" t="s">
        <v>48</v>
      </c>
      <c r="B16" s="8" t="s">
        <v>49</v>
      </c>
      <c r="C16" s="12"/>
      <c r="D16" s="12"/>
      <c r="E16" s="12"/>
      <c r="F16" s="12"/>
      <c r="G16" s="9"/>
      <c r="H16" s="9"/>
      <c r="I16" s="12"/>
      <c r="J16" s="12"/>
      <c r="K16" s="12"/>
      <c r="L16" s="12"/>
      <c r="M16" s="13"/>
      <c r="N16" s="12"/>
      <c r="O16" s="12"/>
      <c r="P16" s="12"/>
      <c r="Q16" s="12"/>
      <c r="R16" s="13"/>
      <c r="S16" s="10" t="s">
        <v>23</v>
      </c>
    </row>
    <row r="17" spans="1:19" ht="15" customHeight="1" x14ac:dyDescent="0.35">
      <c r="A17" s="4" t="s">
        <v>50</v>
      </c>
      <c r="B17" s="4" t="s">
        <v>51</v>
      </c>
      <c r="C17" s="12"/>
      <c r="D17" s="12"/>
      <c r="E17" s="12"/>
      <c r="F17" s="12"/>
      <c r="G17" s="12"/>
      <c r="H17" s="12"/>
      <c r="I17" s="5"/>
      <c r="J17" s="11" t="s">
        <v>52</v>
      </c>
      <c r="K17" s="12"/>
      <c r="L17" s="12"/>
      <c r="M17" s="13"/>
      <c r="N17" s="12"/>
      <c r="O17" s="12"/>
      <c r="P17" s="12"/>
      <c r="Q17" s="12"/>
      <c r="R17" s="13"/>
      <c r="S17" s="14" t="str">
        <f>'6.2 Milestone'!E5</f>
        <v>Belum</v>
      </c>
    </row>
    <row r="18" spans="1:19" ht="15" customHeight="1" x14ac:dyDescent="0.35">
      <c r="A18" s="7" t="s">
        <v>53</v>
      </c>
      <c r="B18" s="8" t="s">
        <v>54</v>
      </c>
      <c r="C18" s="12"/>
      <c r="D18" s="12"/>
      <c r="E18" s="12"/>
      <c r="F18" s="12"/>
      <c r="G18" s="12"/>
      <c r="H18" s="12"/>
      <c r="I18" s="9"/>
      <c r="J18" s="12"/>
      <c r="K18" s="12"/>
      <c r="L18" s="12"/>
      <c r="M18" s="13"/>
      <c r="N18" s="12"/>
      <c r="O18" s="12"/>
      <c r="P18" s="12"/>
      <c r="Q18" s="12"/>
      <c r="R18" s="13"/>
      <c r="S18" s="10" t="s">
        <v>23</v>
      </c>
    </row>
    <row r="19" spans="1:19" ht="15" customHeight="1" x14ac:dyDescent="0.35">
      <c r="A19" s="7" t="s">
        <v>55</v>
      </c>
      <c r="B19" s="8" t="s">
        <v>56</v>
      </c>
      <c r="C19" s="12"/>
      <c r="D19" s="12"/>
      <c r="E19" s="12"/>
      <c r="F19" s="12"/>
      <c r="G19" s="12"/>
      <c r="H19" s="12"/>
      <c r="I19" s="9"/>
      <c r="J19" s="9"/>
      <c r="K19" s="12"/>
      <c r="L19" s="12"/>
      <c r="M19" s="13"/>
      <c r="N19" s="12"/>
      <c r="O19" s="12"/>
      <c r="P19" s="12"/>
      <c r="Q19" s="12"/>
      <c r="R19" s="13"/>
      <c r="S19" s="10" t="s">
        <v>23</v>
      </c>
    </row>
    <row r="20" spans="1:19" ht="15" customHeight="1" x14ac:dyDescent="0.35">
      <c r="A20" s="7" t="s">
        <v>57</v>
      </c>
      <c r="B20" s="8" t="s">
        <v>58</v>
      </c>
      <c r="C20" s="12"/>
      <c r="D20" s="12"/>
      <c r="E20" s="12"/>
      <c r="F20" s="12"/>
      <c r="G20" s="12"/>
      <c r="H20" s="12"/>
      <c r="I20" s="12"/>
      <c r="J20" s="9"/>
      <c r="K20" s="12"/>
      <c r="L20" s="12"/>
      <c r="M20" s="13"/>
      <c r="N20" s="12"/>
      <c r="O20" s="12"/>
      <c r="P20" s="12"/>
      <c r="Q20" s="12"/>
      <c r="R20" s="13"/>
      <c r="S20" s="10" t="s">
        <v>23</v>
      </c>
    </row>
    <row r="21" spans="1:19" ht="15" customHeight="1" x14ac:dyDescent="0.35">
      <c r="A21" s="4" t="s">
        <v>59</v>
      </c>
      <c r="B21" s="4" t="s">
        <v>60</v>
      </c>
      <c r="C21" s="12"/>
      <c r="D21" s="12"/>
      <c r="E21" s="12"/>
      <c r="F21" s="12"/>
      <c r="G21" s="12"/>
      <c r="H21" s="12"/>
      <c r="I21" s="12"/>
      <c r="J21" s="12"/>
      <c r="K21" s="5"/>
      <c r="L21" s="5"/>
      <c r="M21" s="13"/>
      <c r="N21" s="5"/>
      <c r="O21" s="12"/>
      <c r="P21" s="12"/>
      <c r="Q21" s="12"/>
      <c r="R21" s="13"/>
      <c r="S21" s="6" t="str">
        <f>IF(COUNTIF(S22:S24,"Selesai")=ROWS(S22:S24),"Selesai",IF(COUNTIF(S22:S24,"Terlambat")&gt;0,"Terlambat",IF(COUNTIF(S22:S24,"Revisi")&gt;0,"Revisi",IF(COUNTIF(S22:S24,"Belum")=ROWS(S22:S24),"Belum","Berjalan"))))</f>
        <v>Belum</v>
      </c>
    </row>
    <row r="22" spans="1:19" ht="15" customHeight="1" x14ac:dyDescent="0.35">
      <c r="A22" s="7" t="s">
        <v>61</v>
      </c>
      <c r="B22" s="8" t="s">
        <v>62</v>
      </c>
      <c r="C22" s="12"/>
      <c r="D22" s="12"/>
      <c r="E22" s="12"/>
      <c r="F22" s="12"/>
      <c r="G22" s="12"/>
      <c r="H22" s="12"/>
      <c r="I22" s="12"/>
      <c r="J22" s="12"/>
      <c r="K22" s="11" t="s">
        <v>63</v>
      </c>
      <c r="L22" s="12"/>
      <c r="M22" s="13"/>
      <c r="N22" s="12"/>
      <c r="O22" s="12"/>
      <c r="P22" s="12"/>
      <c r="Q22" s="12"/>
      <c r="R22" s="13"/>
      <c r="S22" s="15" t="str">
        <f>'6.2 Milestone'!E6</f>
        <v>Belum</v>
      </c>
    </row>
    <row r="23" spans="1:19" ht="15" customHeight="1" x14ac:dyDescent="0.35">
      <c r="A23" s="7" t="s">
        <v>64</v>
      </c>
      <c r="B23" s="8" t="s">
        <v>65</v>
      </c>
      <c r="C23" s="12"/>
      <c r="D23" s="12"/>
      <c r="E23" s="12"/>
      <c r="F23" s="12"/>
      <c r="G23" s="12"/>
      <c r="H23" s="12"/>
      <c r="I23" s="12"/>
      <c r="J23" s="12"/>
      <c r="K23" s="12"/>
      <c r="L23" s="11" t="s">
        <v>66</v>
      </c>
      <c r="M23" s="13"/>
      <c r="N23" s="12"/>
      <c r="O23" s="12"/>
      <c r="P23" s="12"/>
      <c r="Q23" s="12"/>
      <c r="R23" s="13"/>
      <c r="S23" s="15" t="str">
        <f>'6.2 Milestone'!E7</f>
        <v>Belum</v>
      </c>
    </row>
    <row r="24" spans="1:19" ht="15" customHeight="1" x14ac:dyDescent="0.35">
      <c r="A24" s="7" t="s">
        <v>67</v>
      </c>
      <c r="B24" s="8" t="s">
        <v>68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3"/>
      <c r="N24" s="11" t="s">
        <v>69</v>
      </c>
      <c r="O24" s="12"/>
      <c r="P24" s="12"/>
      <c r="Q24" s="12"/>
      <c r="R24" s="13"/>
      <c r="S24" s="15" t="str">
        <f>'6.2 Milestone'!E8</f>
        <v>Belum</v>
      </c>
    </row>
    <row r="25" spans="1:19" ht="15" customHeight="1" x14ac:dyDescent="0.35">
      <c r="A25" s="4" t="s">
        <v>70</v>
      </c>
      <c r="B25" s="4" t="s">
        <v>71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2"/>
      <c r="O25" s="11" t="s">
        <v>72</v>
      </c>
      <c r="P25" s="12"/>
      <c r="Q25" s="12"/>
      <c r="R25" s="13"/>
      <c r="S25" s="14" t="str">
        <f>'6.2 Milestone'!E9</f>
        <v>Belum</v>
      </c>
    </row>
    <row r="26" spans="1:19" ht="15" customHeight="1" x14ac:dyDescent="0.35">
      <c r="A26" s="7" t="s">
        <v>73</v>
      </c>
      <c r="B26" s="8" t="s">
        <v>74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3"/>
      <c r="N26" s="9"/>
      <c r="O26" s="9"/>
      <c r="P26" s="12"/>
      <c r="Q26" s="12"/>
      <c r="R26" s="13"/>
      <c r="S26" s="10" t="s">
        <v>23</v>
      </c>
    </row>
    <row r="27" spans="1:19" ht="15" customHeight="1" x14ac:dyDescent="0.35">
      <c r="A27" s="7" t="s">
        <v>75</v>
      </c>
      <c r="B27" s="8" t="s">
        <v>76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3"/>
      <c r="N27" s="12"/>
      <c r="O27" s="9"/>
      <c r="P27" s="12"/>
      <c r="Q27" s="12"/>
      <c r="R27" s="13"/>
      <c r="S27" s="10" t="s">
        <v>23</v>
      </c>
    </row>
    <row r="28" spans="1:19" ht="15" customHeight="1" x14ac:dyDescent="0.35">
      <c r="A28" s="4" t="s">
        <v>77</v>
      </c>
      <c r="B28" s="4" t="s">
        <v>78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3"/>
      <c r="N28" s="12"/>
      <c r="O28" s="12"/>
      <c r="P28" s="5"/>
      <c r="Q28" s="11" t="s">
        <v>79</v>
      </c>
      <c r="R28" s="13"/>
      <c r="S28" s="14" t="str">
        <f>'6.2 Milestone'!E10</f>
        <v>Belum</v>
      </c>
    </row>
    <row r="29" spans="1:19" ht="15" customHeight="1" x14ac:dyDescent="0.35">
      <c r="A29" s="7" t="s">
        <v>80</v>
      </c>
      <c r="B29" s="8" t="s">
        <v>81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3"/>
      <c r="N29" s="12"/>
      <c r="O29" s="12"/>
      <c r="P29" s="9"/>
      <c r="Q29" s="12"/>
      <c r="R29" s="13"/>
      <c r="S29" s="10" t="s">
        <v>23</v>
      </c>
    </row>
    <row r="30" spans="1:19" ht="15" customHeight="1" x14ac:dyDescent="0.35">
      <c r="A30" s="7" t="s">
        <v>82</v>
      </c>
      <c r="B30" s="8" t="s">
        <v>83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3"/>
      <c r="N30" s="12"/>
      <c r="O30" s="12"/>
      <c r="P30" s="12"/>
      <c r="Q30" s="9"/>
      <c r="R30" s="13"/>
      <c r="S30" s="10" t="s">
        <v>23</v>
      </c>
    </row>
    <row r="32" spans="1:19" ht="15" customHeight="1" x14ac:dyDescent="0.35">
      <c r="M32" s="16" t="s">
        <v>84</v>
      </c>
      <c r="R32" s="16" t="s">
        <v>85</v>
      </c>
    </row>
    <row r="34" spans="1:15" ht="15" customHeight="1" x14ac:dyDescent="0.35">
      <c r="A34" s="5" t="s">
        <v>86</v>
      </c>
      <c r="B34" s="17" t="s">
        <v>87</v>
      </c>
      <c r="D34" s="9" t="s">
        <v>86</v>
      </c>
      <c r="E34" s="17" t="s">
        <v>88</v>
      </c>
      <c r="G34" s="18" t="s">
        <v>86</v>
      </c>
      <c r="H34" s="17" t="s">
        <v>89</v>
      </c>
      <c r="J34" s="13" t="s">
        <v>86</v>
      </c>
      <c r="K34" s="17" t="s">
        <v>90</v>
      </c>
      <c r="N34" s="19"/>
      <c r="O34" s="17" t="s">
        <v>147</v>
      </c>
    </row>
    <row r="36" spans="1:15" x14ac:dyDescent="0.35">
      <c r="A36" s="20"/>
    </row>
  </sheetData>
  <mergeCells count="3">
    <mergeCell ref="A1:R1"/>
    <mergeCell ref="A2:R2"/>
    <mergeCell ref="A3:B3"/>
  </mergeCells>
  <phoneticPr fontId="12" type="noConversion"/>
  <conditionalFormatting sqref="C7">
    <cfRule type="expression" dxfId="95" priority="11">
      <formula>$S7="Selesai"</formula>
    </cfRule>
    <cfRule type="expression" dxfId="94" priority="12">
      <formula>$S7="Terlambat"</formula>
    </cfRule>
    <cfRule type="expression" dxfId="93" priority="13">
      <formula>$S7="Revisi"</formula>
    </cfRule>
  </conditionalFormatting>
  <conditionalFormatting sqref="C8">
    <cfRule type="expression" dxfId="92" priority="17">
      <formula>$S8="Selesai"</formula>
    </cfRule>
    <cfRule type="expression" dxfId="91" priority="18">
      <formula>$S8="Terlambat"</formula>
    </cfRule>
    <cfRule type="expression" dxfId="90" priority="19">
      <formula>$S8="Revisi"</formula>
    </cfRule>
  </conditionalFormatting>
  <conditionalFormatting sqref="C4:R4">
    <cfRule type="expression" dxfId="89" priority="3">
      <formula>$S4="Terlambat"</formula>
    </cfRule>
    <cfRule type="expression" dxfId="88" priority="4">
      <formula>$S4="Revisi"</formula>
    </cfRule>
    <cfRule type="expression" dxfId="87" priority="2">
      <formula>$S4="Selesai"</formula>
    </cfRule>
  </conditionalFormatting>
  <conditionalFormatting sqref="C5:R6">
    <cfRule type="expression" dxfId="86" priority="5">
      <formula>$S5="Selesai"</formula>
    </cfRule>
    <cfRule type="expression" dxfId="85" priority="6">
      <formula>$S5="Terlambat"</formula>
    </cfRule>
    <cfRule type="expression" dxfId="84" priority="7">
      <formula>$S5="Revisi"</formula>
    </cfRule>
  </conditionalFormatting>
  <conditionalFormatting sqref="D7">
    <cfRule type="expression" dxfId="83" priority="14">
      <formula>$S7="Selesai"</formula>
    </cfRule>
    <cfRule type="expression" dxfId="82" priority="15">
      <formula>$S7="Terlambat"</formula>
    </cfRule>
    <cfRule type="expression" dxfId="81" priority="16">
      <formula>$S7="Revisi"</formula>
    </cfRule>
  </conditionalFormatting>
  <conditionalFormatting sqref="D9">
    <cfRule type="expression" dxfId="80" priority="20">
      <formula>$S9="Selesai"</formula>
    </cfRule>
    <cfRule type="expression" dxfId="79" priority="21">
      <formula>$S9="Terlambat"</formula>
    </cfRule>
    <cfRule type="expression" dxfId="78" priority="22">
      <formula>$S9="Revisi"</formula>
    </cfRule>
  </conditionalFormatting>
  <conditionalFormatting sqref="E10">
    <cfRule type="expression" dxfId="77" priority="23">
      <formula>$S10="Selesai"</formula>
    </cfRule>
    <cfRule type="expression" dxfId="76" priority="24">
      <formula>$S10="Terlambat"</formula>
    </cfRule>
    <cfRule type="expression" dxfId="75" priority="25">
      <formula>$S10="Revisi"</formula>
    </cfRule>
  </conditionalFormatting>
  <conditionalFormatting sqref="E11">
    <cfRule type="expression" dxfId="74" priority="30">
      <formula>$S11="Terlambat"</formula>
    </cfRule>
    <cfRule type="expression" dxfId="73" priority="31">
      <formula>$S11="Revisi"</formula>
    </cfRule>
    <cfRule type="expression" dxfId="72" priority="29">
      <formula>$S11="Selesai"</formula>
    </cfRule>
  </conditionalFormatting>
  <conditionalFormatting sqref="E12:F12">
    <cfRule type="expression" dxfId="71" priority="32">
      <formula>$S12="Selesai"</formula>
    </cfRule>
    <cfRule type="expression" dxfId="70" priority="33">
      <formula>$S12="Terlambat"</formula>
    </cfRule>
    <cfRule type="expression" dxfId="69" priority="34">
      <formula>$S12="Revisi"</formula>
    </cfRule>
  </conditionalFormatting>
  <conditionalFormatting sqref="F10">
    <cfRule type="expression" dxfId="68" priority="26">
      <formula>$S10="Selesai"</formula>
    </cfRule>
    <cfRule type="expression" dxfId="67" priority="27">
      <formula>$S10="Terlambat"</formula>
    </cfRule>
    <cfRule type="expression" dxfId="66" priority="28">
      <formula>$S10="Revisi"</formula>
    </cfRule>
  </conditionalFormatting>
  <conditionalFormatting sqref="F13">
    <cfRule type="expression" dxfId="65" priority="35">
      <formula>$S13="Selesai"</formula>
    </cfRule>
    <cfRule type="expression" dxfId="64" priority="36">
      <formula>$S13="Terlambat"</formula>
    </cfRule>
    <cfRule type="expression" dxfId="63" priority="37">
      <formula>$S13="Revisi"</formula>
    </cfRule>
  </conditionalFormatting>
  <conditionalFormatting sqref="G14">
    <cfRule type="expression" dxfId="62" priority="38">
      <formula>$S14="Selesai"</formula>
    </cfRule>
    <cfRule type="expression" dxfId="61" priority="39">
      <formula>$S14="Terlambat"</formula>
    </cfRule>
    <cfRule type="expression" dxfId="60" priority="40">
      <formula>$S14="Revisi"</formula>
    </cfRule>
  </conditionalFormatting>
  <conditionalFormatting sqref="G15">
    <cfRule type="expression" dxfId="59" priority="44">
      <formula>$S15="Selesai"</formula>
    </cfRule>
    <cfRule type="expression" dxfId="58" priority="45">
      <formula>$S15="Terlambat"</formula>
    </cfRule>
    <cfRule type="expression" dxfId="57" priority="46">
      <formula>$S15="Revisi"</formula>
    </cfRule>
  </conditionalFormatting>
  <conditionalFormatting sqref="G16:H16">
    <cfRule type="expression" dxfId="56" priority="47">
      <formula>$S16="Selesai"</formula>
    </cfRule>
    <cfRule type="expression" dxfId="55" priority="48">
      <formula>$S16="Terlambat"</formula>
    </cfRule>
    <cfRule type="expression" dxfId="54" priority="49">
      <formula>$S16="Revisi"</formula>
    </cfRule>
  </conditionalFormatting>
  <conditionalFormatting sqref="H14">
    <cfRule type="expression" dxfId="53" priority="41">
      <formula>$S14="Selesai"</formula>
    </cfRule>
    <cfRule type="expression" dxfId="52" priority="42">
      <formula>$S14="Terlambat"</formula>
    </cfRule>
    <cfRule type="expression" dxfId="51" priority="43">
      <formula>$S14="Revisi"</formula>
    </cfRule>
  </conditionalFormatting>
  <conditionalFormatting sqref="I17">
    <cfRule type="expression" dxfId="50" priority="50">
      <formula>$S17="Selesai"</formula>
    </cfRule>
    <cfRule type="expression" dxfId="49" priority="51">
      <formula>$S17="Terlambat"</formula>
    </cfRule>
    <cfRule type="expression" dxfId="48" priority="52">
      <formula>$S17="Revisi"</formula>
    </cfRule>
  </conditionalFormatting>
  <conditionalFormatting sqref="I18">
    <cfRule type="expression" dxfId="47" priority="56">
      <formula>$S18="Selesai"</formula>
    </cfRule>
    <cfRule type="expression" dxfId="46" priority="57">
      <formula>$S18="Terlambat"</formula>
    </cfRule>
    <cfRule type="expression" dxfId="45" priority="58">
      <formula>$S18="Revisi"</formula>
    </cfRule>
  </conditionalFormatting>
  <conditionalFormatting sqref="I19:J19">
    <cfRule type="expression" dxfId="44" priority="59">
      <formula>$S19="Selesai"</formula>
    </cfRule>
    <cfRule type="expression" dxfId="43" priority="60">
      <formula>$S19="Terlambat"</formula>
    </cfRule>
    <cfRule type="expression" dxfId="42" priority="61">
      <formula>$S19="Revisi"</formula>
    </cfRule>
  </conditionalFormatting>
  <conditionalFormatting sqref="J17">
    <cfRule type="expression" dxfId="41" priority="53">
      <formula>$S17="Selesai"</formula>
    </cfRule>
    <cfRule type="expression" dxfId="40" priority="54">
      <formula>$S17="Terlambat"</formula>
    </cfRule>
    <cfRule type="expression" dxfId="39" priority="55">
      <formula>$S17="Revisi"</formula>
    </cfRule>
  </conditionalFormatting>
  <conditionalFormatting sqref="J20">
    <cfRule type="expression" dxfId="38" priority="62">
      <formula>$S20="Selesai"</formula>
    </cfRule>
    <cfRule type="expression" dxfId="37" priority="63">
      <formula>$S20="Terlambat"</formula>
    </cfRule>
    <cfRule type="expression" dxfId="36" priority="64">
      <formula>$S20="Revisi"</formula>
    </cfRule>
  </conditionalFormatting>
  <conditionalFormatting sqref="K22">
    <cfRule type="expression" dxfId="35" priority="71">
      <formula>$S22="Selesai"</formula>
    </cfRule>
    <cfRule type="expression" dxfId="34" priority="72">
      <formula>$S22="Terlambat"</formula>
    </cfRule>
    <cfRule type="expression" dxfId="33" priority="73">
      <formula>$S22="Revisi"</formula>
    </cfRule>
  </conditionalFormatting>
  <conditionalFormatting sqref="K21:L21">
    <cfRule type="expression" dxfId="32" priority="65">
      <formula>$S21="Selesai"</formula>
    </cfRule>
    <cfRule type="expression" dxfId="31" priority="66">
      <formula>$S21="Terlambat"</formula>
    </cfRule>
    <cfRule type="expression" dxfId="30" priority="67">
      <formula>$S21="Revisi"</formula>
    </cfRule>
  </conditionalFormatting>
  <conditionalFormatting sqref="L23">
    <cfRule type="expression" dxfId="29" priority="74">
      <formula>$S23="Selesai"</formula>
    </cfRule>
    <cfRule type="expression" dxfId="28" priority="75">
      <formula>$S23="Terlambat"</formula>
    </cfRule>
    <cfRule type="expression" dxfId="27" priority="76">
      <formula>$S23="Revisi"</formula>
    </cfRule>
  </conditionalFormatting>
  <conditionalFormatting sqref="N21">
    <cfRule type="expression" dxfId="26" priority="68">
      <formula>$S21="Selesai"</formula>
    </cfRule>
    <cfRule type="expression" dxfId="25" priority="69">
      <formula>$S21="Terlambat"</formula>
    </cfRule>
    <cfRule type="expression" dxfId="24" priority="70">
      <formula>$S21="Revisi"</formula>
    </cfRule>
  </conditionalFormatting>
  <conditionalFormatting sqref="N24">
    <cfRule type="expression" dxfId="23" priority="77">
      <formula>$S24="Selesai"</formula>
    </cfRule>
    <cfRule type="expression" dxfId="22" priority="78">
      <formula>$S24="Terlambat"</formula>
    </cfRule>
    <cfRule type="expression" dxfId="21" priority="79">
      <formula>$S24="Revisi"</formula>
    </cfRule>
  </conditionalFormatting>
  <conditionalFormatting sqref="N26:O26">
    <cfRule type="expression" dxfId="20" priority="83">
      <formula>$S26="Selesai"</formula>
    </cfRule>
    <cfRule type="expression" dxfId="19" priority="84">
      <formula>$S26="Terlambat"</formula>
    </cfRule>
    <cfRule type="expression" dxfId="18" priority="85">
      <formula>$S26="Revisi"</formula>
    </cfRule>
  </conditionalFormatting>
  <conditionalFormatting sqref="O25">
    <cfRule type="expression" dxfId="17" priority="80">
      <formula>$S25="Selesai"</formula>
    </cfRule>
    <cfRule type="expression" dxfId="16" priority="81">
      <formula>$S25="Terlambat"</formula>
    </cfRule>
    <cfRule type="expression" dxfId="15" priority="82">
      <formula>$S25="Revisi"</formula>
    </cfRule>
  </conditionalFormatting>
  <conditionalFormatting sqref="O27">
    <cfRule type="expression" dxfId="14" priority="86">
      <formula>$S27="Selesai"</formula>
    </cfRule>
    <cfRule type="expression" dxfId="13" priority="87">
      <formula>$S27="Terlambat"</formula>
    </cfRule>
    <cfRule type="expression" dxfId="12" priority="88">
      <formula>$S27="Revisi"</formula>
    </cfRule>
  </conditionalFormatting>
  <conditionalFormatting sqref="P28">
    <cfRule type="expression" dxfId="11" priority="89">
      <formula>$S28="Selesai"</formula>
    </cfRule>
    <cfRule type="expression" dxfId="10" priority="90">
      <formula>$S28="Terlambat"</formula>
    </cfRule>
    <cfRule type="expression" dxfId="9" priority="91">
      <formula>$S28="Revisi"</formula>
    </cfRule>
  </conditionalFormatting>
  <conditionalFormatting sqref="P29">
    <cfRule type="expression" dxfId="8" priority="95">
      <formula>$S29="Selesai"</formula>
    </cfRule>
    <cfRule type="expression" dxfId="7" priority="96">
      <formula>$S29="Terlambat"</formula>
    </cfRule>
    <cfRule type="expression" dxfId="6" priority="97">
      <formula>$S29="Revisi"</formula>
    </cfRule>
  </conditionalFormatting>
  <conditionalFormatting sqref="Q28">
    <cfRule type="expression" dxfId="5" priority="92">
      <formula>$S28="Selesai"</formula>
    </cfRule>
    <cfRule type="expression" dxfId="4" priority="93">
      <formula>$S28="Terlambat"</formula>
    </cfRule>
    <cfRule type="expression" dxfId="3" priority="94">
      <formula>$S28="Revisi"</formula>
    </cfRule>
  </conditionalFormatting>
  <conditionalFormatting sqref="Q30">
    <cfRule type="expression" dxfId="2" priority="98">
      <formula>$S30="Selesai"</formula>
    </cfRule>
    <cfRule type="expression" dxfId="1" priority="99">
      <formula>$S30="Terlambat"</formula>
    </cfRule>
    <cfRule type="expression" dxfId="0" priority="100">
      <formula>$S30="Revisi"</formula>
    </cfRule>
  </conditionalFormatting>
  <dataValidations count="1">
    <dataValidation type="list" allowBlank="1" sqref="S5:S6 S8:S9 S11:S13 S15:S16 S18:S20 S26:S27 S29:S30" xr:uid="{00000000-0002-0000-0000-000000000000}">
      <formula1>"Belum,Berjalan,Selesai,Terlambat,Revisi"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zoomScale="130" zoomScaleNormal="130" workbookViewId="0">
      <pane ySplit="1" topLeftCell="A2" activePane="bottomLeft" state="frozen"/>
      <selection pane="bottomLeft" activeCell="F2" sqref="F2"/>
    </sheetView>
  </sheetViews>
  <sheetFormatPr defaultColWidth="8.6328125" defaultRowHeight="14.5" x14ac:dyDescent="0.35"/>
  <cols>
    <col min="1" max="1" width="10" customWidth="1"/>
    <col min="2" max="2" width="26" customWidth="1"/>
    <col min="3" max="4" width="20" customWidth="1"/>
    <col min="5" max="5" width="10" customWidth="1"/>
    <col min="6" max="6" width="12" customWidth="1"/>
  </cols>
  <sheetData>
    <row r="1" spans="1:6" ht="15" customHeight="1" x14ac:dyDescent="0.35">
      <c r="A1" s="21" t="s">
        <v>91</v>
      </c>
      <c r="B1" s="21" t="s">
        <v>92</v>
      </c>
      <c r="C1" s="21" t="s">
        <v>93</v>
      </c>
      <c r="D1" s="21" t="s">
        <v>31</v>
      </c>
      <c r="E1" s="21" t="s">
        <v>94</v>
      </c>
      <c r="F1" s="21" t="s">
        <v>95</v>
      </c>
    </row>
    <row r="2" spans="1:6" ht="15" customHeight="1" x14ac:dyDescent="0.35">
      <c r="A2" s="22" t="s">
        <v>26</v>
      </c>
      <c r="B2" s="7" t="s">
        <v>27</v>
      </c>
      <c r="C2" s="7" t="s">
        <v>96</v>
      </c>
      <c r="D2" s="7" t="s">
        <v>97</v>
      </c>
      <c r="E2" s="7" t="s">
        <v>98</v>
      </c>
      <c r="F2" s="7" t="s">
        <v>99</v>
      </c>
    </row>
    <row r="3" spans="1:6" ht="15" customHeight="1" x14ac:dyDescent="0.35">
      <c r="A3" s="22" t="s">
        <v>34</v>
      </c>
      <c r="B3" s="7" t="s">
        <v>35</v>
      </c>
      <c r="C3" s="7" t="s">
        <v>100</v>
      </c>
      <c r="D3" s="7" t="s">
        <v>101</v>
      </c>
      <c r="E3" s="7" t="s">
        <v>98</v>
      </c>
      <c r="F3" s="7" t="s">
        <v>26</v>
      </c>
    </row>
    <row r="4" spans="1:6" ht="15" customHeight="1" x14ac:dyDescent="0.35">
      <c r="A4" s="22" t="s">
        <v>43</v>
      </c>
      <c r="B4" s="7" t="s">
        <v>44</v>
      </c>
      <c r="C4" s="7" t="s">
        <v>102</v>
      </c>
      <c r="D4" s="7" t="s">
        <v>103</v>
      </c>
      <c r="E4" s="7" t="s">
        <v>98</v>
      </c>
      <c r="F4" s="7" t="s">
        <v>34</v>
      </c>
    </row>
    <row r="5" spans="1:6" ht="15" customHeight="1" x14ac:dyDescent="0.35">
      <c r="A5" s="22" t="s">
        <v>50</v>
      </c>
      <c r="B5" s="7" t="s">
        <v>51</v>
      </c>
      <c r="C5" s="7" t="s">
        <v>104</v>
      </c>
      <c r="D5" s="7" t="s">
        <v>105</v>
      </c>
      <c r="E5" s="7" t="s">
        <v>98</v>
      </c>
      <c r="F5" s="7" t="s">
        <v>43</v>
      </c>
    </row>
    <row r="6" spans="1:6" ht="15" customHeight="1" x14ac:dyDescent="0.35">
      <c r="A6" s="22" t="s">
        <v>59</v>
      </c>
      <c r="B6" s="7" t="s">
        <v>106</v>
      </c>
      <c r="C6" s="7" t="s">
        <v>107</v>
      </c>
      <c r="D6" s="7" t="s">
        <v>108</v>
      </c>
      <c r="E6" s="7" t="s">
        <v>109</v>
      </c>
      <c r="F6" s="7" t="s">
        <v>50</v>
      </c>
    </row>
    <row r="7" spans="1:6" ht="15" customHeight="1" x14ac:dyDescent="0.35">
      <c r="A7" s="22" t="s">
        <v>70</v>
      </c>
      <c r="B7" s="7" t="s">
        <v>71</v>
      </c>
      <c r="C7" s="7" t="s">
        <v>110</v>
      </c>
      <c r="D7" s="7" t="s">
        <v>111</v>
      </c>
      <c r="E7" s="7" t="s">
        <v>112</v>
      </c>
      <c r="F7" s="7" t="s">
        <v>59</v>
      </c>
    </row>
    <row r="8" spans="1:6" ht="15" customHeight="1" x14ac:dyDescent="0.35">
      <c r="A8" s="22" t="s">
        <v>77</v>
      </c>
      <c r="B8" s="7" t="s">
        <v>78</v>
      </c>
      <c r="C8" s="7" t="s">
        <v>113</v>
      </c>
      <c r="D8" s="7" t="s">
        <v>114</v>
      </c>
      <c r="E8" s="7" t="s">
        <v>98</v>
      </c>
      <c r="F8" s="7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tabSelected="1" zoomScale="135" zoomScaleNormal="100" workbookViewId="0">
      <pane ySplit="1" topLeftCell="A2" activePane="bottomLeft" state="frozen"/>
      <selection pane="bottomLeft" activeCell="D2" sqref="D2"/>
    </sheetView>
  </sheetViews>
  <sheetFormatPr defaultColWidth="8.6328125" defaultRowHeight="14.5" x14ac:dyDescent="0.35"/>
  <cols>
    <col min="1" max="1" width="8" customWidth="1"/>
    <col min="2" max="2" width="40" customWidth="1"/>
    <col min="3" max="3" width="14" customWidth="1"/>
    <col min="4" max="4" width="28" customWidth="1"/>
    <col min="5" max="5" width="12" customWidth="1"/>
  </cols>
  <sheetData>
    <row r="1" spans="1:5" ht="15" customHeight="1" x14ac:dyDescent="0.35">
      <c r="A1" s="21" t="s">
        <v>115</v>
      </c>
      <c r="B1" s="21" t="s">
        <v>116</v>
      </c>
      <c r="C1" s="21" t="s">
        <v>117</v>
      </c>
      <c r="D1" s="21" t="s">
        <v>118</v>
      </c>
      <c r="E1" s="21" t="s">
        <v>119</v>
      </c>
    </row>
    <row r="2" spans="1:5" ht="15" customHeight="1" x14ac:dyDescent="0.35">
      <c r="A2" s="22" t="s">
        <v>28</v>
      </c>
      <c r="B2" s="7" t="s">
        <v>120</v>
      </c>
      <c r="C2" s="7" t="s">
        <v>121</v>
      </c>
      <c r="D2" s="7" t="s">
        <v>122</v>
      </c>
      <c r="E2" s="23" t="s">
        <v>31</v>
      </c>
    </row>
    <row r="3" spans="1:5" ht="15" customHeight="1" x14ac:dyDescent="0.35">
      <c r="A3" s="22" t="s">
        <v>36</v>
      </c>
      <c r="B3" s="7" t="s">
        <v>123</v>
      </c>
      <c r="C3" s="7" t="s">
        <v>124</v>
      </c>
      <c r="D3" s="7" t="s">
        <v>125</v>
      </c>
      <c r="E3" s="23" t="s">
        <v>31</v>
      </c>
    </row>
    <row r="4" spans="1:5" ht="15" customHeight="1" x14ac:dyDescent="0.35">
      <c r="A4" s="22" t="s">
        <v>45</v>
      </c>
      <c r="B4" s="7" t="s">
        <v>126</v>
      </c>
      <c r="C4" s="7" t="s">
        <v>127</v>
      </c>
      <c r="D4" s="7" t="s">
        <v>128</v>
      </c>
      <c r="E4" s="23" t="s">
        <v>146</v>
      </c>
    </row>
    <row r="5" spans="1:5" ht="15" customHeight="1" x14ac:dyDescent="0.35">
      <c r="A5" s="22" t="s">
        <v>52</v>
      </c>
      <c r="B5" s="7" t="s">
        <v>129</v>
      </c>
      <c r="C5" s="7" t="s">
        <v>130</v>
      </c>
      <c r="D5" s="7" t="s">
        <v>131</v>
      </c>
      <c r="E5" s="23" t="s">
        <v>23</v>
      </c>
    </row>
    <row r="6" spans="1:5" ht="15" customHeight="1" x14ac:dyDescent="0.35">
      <c r="A6" s="22" t="s">
        <v>63</v>
      </c>
      <c r="B6" s="7" t="s">
        <v>132</v>
      </c>
      <c r="C6" s="7" t="s">
        <v>133</v>
      </c>
      <c r="D6" s="7" t="s">
        <v>134</v>
      </c>
      <c r="E6" s="23" t="s">
        <v>23</v>
      </c>
    </row>
    <row r="7" spans="1:5" ht="15" customHeight="1" x14ac:dyDescent="0.35">
      <c r="A7" s="22" t="s">
        <v>66</v>
      </c>
      <c r="B7" s="7" t="s">
        <v>135</v>
      </c>
      <c r="C7" s="7" t="s">
        <v>136</v>
      </c>
      <c r="D7" s="7" t="s">
        <v>134</v>
      </c>
      <c r="E7" s="23" t="s">
        <v>23</v>
      </c>
    </row>
    <row r="8" spans="1:5" ht="15" customHeight="1" x14ac:dyDescent="0.35">
      <c r="A8" s="22" t="s">
        <v>69</v>
      </c>
      <c r="B8" s="7" t="s">
        <v>137</v>
      </c>
      <c r="C8" s="7" t="s">
        <v>138</v>
      </c>
      <c r="D8" s="7" t="s">
        <v>139</v>
      </c>
      <c r="E8" s="23" t="s">
        <v>23</v>
      </c>
    </row>
    <row r="9" spans="1:5" ht="15" customHeight="1" x14ac:dyDescent="0.35">
      <c r="A9" s="22" t="s">
        <v>72</v>
      </c>
      <c r="B9" s="7" t="s">
        <v>140</v>
      </c>
      <c r="C9" s="7" t="s">
        <v>141</v>
      </c>
      <c r="D9" s="7" t="s">
        <v>142</v>
      </c>
      <c r="E9" s="23" t="s">
        <v>23</v>
      </c>
    </row>
    <row r="10" spans="1:5" ht="15" customHeight="1" x14ac:dyDescent="0.35">
      <c r="A10" s="22" t="s">
        <v>79</v>
      </c>
      <c r="B10" s="7" t="s">
        <v>143</v>
      </c>
      <c r="C10" s="7" t="s">
        <v>144</v>
      </c>
      <c r="D10" s="7" t="s">
        <v>145</v>
      </c>
      <c r="E10" s="23" t="s">
        <v>23</v>
      </c>
    </row>
  </sheetData>
  <dataValidations count="1">
    <dataValidation type="list" sqref="E2:E10" xr:uid="{00000000-0002-0000-0200-000000000000}">
      <formula1>"Belum,Berjalan,Selesai,Terlambat,Revisi"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6.3 Gantt Chart</vt:lpstr>
      <vt:lpstr>6.1 Jadwal &amp; Dependensi</vt:lpstr>
      <vt:lpstr>6.2 Milestone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fariz amali</cp:lastModifiedBy>
  <cp:revision>0</cp:revision>
  <dcterms:created xsi:type="dcterms:W3CDTF">2026-10-18T11:44:14Z</dcterms:created>
  <dcterms:modified xsi:type="dcterms:W3CDTF">2026-10-19T05:17:12Z</dcterms:modified>
  <dc:language>en-US</dc:language>
</cp:coreProperties>
</file>